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BL_Scorecard" sheetId="2" r:id="rId6"/>
    <sheet state="visible" name="Lookups" sheetId="3" r:id="rId7"/>
  </sheets>
  <definedNames>
    <definedName name="W_CONDITION">Lookups!$B$17</definedName>
    <definedName name="CFDeficit_Flag">Lookups!$M$3</definedName>
    <definedName name="Default_Flag">Lookups!$M$11</definedName>
    <definedName name="Collateral_Flag">Lookups!$M$8</definedName>
    <definedName name="Income_Var_Flag">Lookups!$M$4</definedName>
    <definedName name="Equity_Flag">Lookups!$M$5</definedName>
    <definedName name="LTV_MAX_IMMOVABLE">Lookups!$B$6</definedName>
    <definedName name="W_CAPITAL">Lookups!$B$15</definedName>
    <definedName name="CASHFLOW_DEFICIT_REPAY_SHARE_MAX">Lookups!$B$4</definedName>
    <definedName name="LTV_MAX_MOVABLE">Lookups!$B$5</definedName>
    <definedName name="BUSINESS_AGE_MIN">Lookups!$B$9</definedName>
    <definedName name="DATA_VARIANCE_MAX">Lookups!$B$8</definedName>
    <definedName name="BUSINESS_LOAN_HARD_MAX_ETB">Lookups!$B$12</definedName>
    <definedName name="DSCR_TARGET">Lookups!$B$3</definedName>
    <definedName name="W_COLLATERAL">Lookups!$B$16</definedName>
    <definedName name="BRANCH_APPROVAL_LIMIT_ETB">Lookups!$B$11</definedName>
    <definedName name="STRESS_FACTOR">Lookups!$B$2</definedName>
    <definedName name="AGE_MAX">Lookups!$B$10</definedName>
    <definedName name="Branch_Limit_Flag">Lookups!$M$9</definedName>
    <definedName name="LTV_Flag">Lookups!$M$7</definedName>
    <definedName name="W_CAPACITY">Lookups!$B$14</definedName>
    <definedName name="W_CHARACTER">Lookups!$B$13</definedName>
    <definedName name="Training_Flag">Lookups!$M$6</definedName>
    <definedName name="Age_Flag">Lookups!$M$2</definedName>
    <definedName name="Loan_Max_Flag">Lookups!$M$10</definedName>
    <definedName name="EQUITY_MIN_RATIO">Lookups!$B$7</definedName>
    <definedName name="SECTOR">BL_Scorecard!$C$17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tc={fe0b926e-464a-4c48-a8ca-ab9d2b1ff342}</author>
  </authors>
  <commentList>
    <comment authorId="0" xr:uid="{fe0b926e-464a-4c48-a8ca-ab9d2b1ff342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Based on the single borrower exposure limit of ≤ 1% of total capital rule I presume? If so, I think it's best approach.
Reply:
	Yep
</t>
      </text>
    </comment>
  </commentList>
</comments>
</file>

<file path=xl/sharedStrings.xml><?xml version="1.0" encoding="utf-8"?>
<sst xmlns="http://schemas.openxmlformats.org/spreadsheetml/2006/main" count="169" uniqueCount="156">
  <si>
    <t>How to use</t>
  </si>
  <si>
    <t>Use 'BL_Scorecard' and fill ONLY the yellow cells.</t>
  </si>
  <si>
    <t>Outputs: stressed DSCR, category scores, total score (1–99), risk band, flags, recommendation.</t>
  </si>
  <si>
    <t>Hard-stops: repayment &gt;50% of monthly surplus =&gt; Reject; income variance &gt;20% (if stated value ≠ verified value) =&gt; Reject; Business age &lt; 6 months =&gt; Reject.</t>
  </si>
  <si>
    <t>Refer flags: Equity &lt;10% of loan; no training; collateral shortfall; collateral uninsured; above branch limit.</t>
  </si>
  <si>
    <t>Score bands: 85–99 approve; 70–84 approve with conditions; 55–69 refer head office; 1–54 reject.</t>
  </si>
  <si>
    <t>Edit parameters in 'Lookups' if policy changes. Protection password: hmfi.</t>
  </si>
  <si>
    <t>Harar MFI - Business Loan (L101) Scorecard</t>
  </si>
  <si>
    <t>v1 | 2026-02-11 | Score 1-99 | Yellow=input</t>
  </si>
  <si>
    <t>Credit Officer ID</t>
  </si>
  <si>
    <t>Hard Max (ETB)</t>
  </si>
  <si>
    <t>Credit Officer Name</t>
  </si>
  <si>
    <t>Branch Limit (ETB)</t>
  </si>
  <si>
    <t>1) Applicant &amp; Loan Request</t>
  </si>
  <si>
    <t>Applicant Name</t>
  </si>
  <si>
    <t>Applicant ID</t>
  </si>
  <si>
    <t>Sex (M/F)</t>
  </si>
  <si>
    <t>Age (years)</t>
  </si>
  <si>
    <t>Marital Status</t>
  </si>
  <si>
    <t>Primary Applicant Literacy Level</t>
  </si>
  <si>
    <t>Repeat Borrower?</t>
  </si>
  <si>
    <t>Loan Series (if repeat borrower)</t>
  </si>
  <si>
    <t>Prior Default with HMFI or other institutions?</t>
  </si>
  <si>
    <t>Branch</t>
  </si>
  <si>
    <t>Application Date</t>
  </si>
  <si>
    <t>Requested Loan Amount</t>
  </si>
  <si>
    <t>Monthly Installment (if extra payments)</t>
  </si>
  <si>
    <t>Term (months)</t>
  </si>
  <si>
    <t>Annual Interest Rate (%)</t>
  </si>
  <si>
    <t>Monthly Installment (Used)</t>
  </si>
  <si>
    <t>2) Business Details</t>
  </si>
  <si>
    <t>Business Name</t>
  </si>
  <si>
    <t>Ownership Structure</t>
  </si>
  <si>
    <t>Site Visit Assessment</t>
  </si>
  <si>
    <t>Sector</t>
  </si>
  <si>
    <t>Training/Certification?</t>
  </si>
  <si>
    <t>Is Business Seasonal?</t>
  </si>
  <si>
    <t>Business Type / Description</t>
  </si>
  <si>
    <t>Years in Business (in months)</t>
  </si>
  <si>
    <t>Character References</t>
  </si>
  <si>
    <t>Loan Purpose</t>
  </si>
  <si>
    <t>Stability of Business Location (months)</t>
  </si>
  <si>
    <t>3) Affordability / Monthly Cash Flow / Repayment Capacity</t>
  </si>
  <si>
    <t>Stated Average Monthly Revenue (ETB)</t>
  </si>
  <si>
    <r>
      <rPr>
        <rFont val="Calibri"/>
        <b/>
        <color rgb="FF000000"/>
      </rPr>
      <t xml:space="preserve">Bank Statement </t>
    </r>
    <r>
      <rPr>
        <rFont val="Calibri"/>
        <b/>
        <color rgb="FFFF0000"/>
      </rPr>
      <t>Verified</t>
    </r>
    <r>
      <rPr>
        <rFont val="Calibri"/>
        <b/>
        <color rgb="FF000000"/>
      </rPr>
      <t xml:space="preserve"> Avg Monthly Revenue (ETB)</t>
    </r>
  </si>
  <si>
    <t>COGS / Inventory</t>
  </si>
  <si>
    <t>Other Monthly Income</t>
  </si>
  <si>
    <t>Rent</t>
  </si>
  <si>
    <t>Household Expenses</t>
  </si>
  <si>
    <t>Utilities</t>
  </si>
  <si>
    <t>Owner Withdrawals/Dividend Monthly Average</t>
  </si>
  <si>
    <t>Wages</t>
  </si>
  <si>
    <t>Transport</t>
  </si>
  <si>
    <t>Other Operating Costs (incl. taxes)</t>
  </si>
  <si>
    <t>Total Operating Expenses</t>
  </si>
  <si>
    <t>Business Surplus (stressed)</t>
  </si>
  <si>
    <t>Business Net Margin</t>
  </si>
  <si>
    <t>Business Surplus (unstressed)</t>
  </si>
  <si>
    <t>Total Monthly Surplus (stressed)</t>
  </si>
  <si>
    <t>Total Monthly Surplus (unstressed)</t>
  </si>
  <si>
    <t>Stressed DSCR (stressed Surplus / Installment)</t>
  </si>
  <si>
    <t>DSCR (Surplus / Installment)</t>
  </si>
  <si>
    <t>Repayment Share (Installment / Unstressed Surplus)</t>
  </si>
  <si>
    <t>Income Variance (|stated-verified| / verified)</t>
  </si>
  <si>
    <t>4) Equity / Capital</t>
  </si>
  <si>
    <t>Total Capital</t>
  </si>
  <si>
    <t>Cash At Bank / Additional Savings / Equity (ETB)</t>
  </si>
  <si>
    <t>Equity Ratio (Total / Loan)</t>
  </si>
  <si>
    <t>Liquidity Coverage</t>
  </si>
  <si>
    <t>5) Collateral</t>
  </si>
  <si>
    <t>Collateral Type</t>
  </si>
  <si>
    <t>Collateral Insured?</t>
  </si>
  <si>
    <t>Market Value (ETB)</t>
  </si>
  <si>
    <t>Haircut (%)</t>
  </si>
  <si>
    <t>Collateral Coverage</t>
  </si>
  <si>
    <t>LTV (Loan / Net Collateral)</t>
  </si>
  <si>
    <t>6) Outputs (Score, Flags, Decision)</t>
  </si>
  <si>
    <t>Total Score (1–99)</t>
  </si>
  <si>
    <t>Risk Band</t>
  </si>
  <si>
    <t>Character (max 30)</t>
  </si>
  <si>
    <t>Capacity (max 39)</t>
  </si>
  <si>
    <t>Flags (Triggered)</t>
  </si>
  <si>
    <t>Capital (max 10)</t>
  </si>
  <si>
    <t>Collateral (max 10)</t>
  </si>
  <si>
    <t>Conditions (max 10)</t>
  </si>
  <si>
    <t>Decision Recommendation</t>
  </si>
  <si>
    <t>Parameter</t>
  </si>
  <si>
    <t>Value</t>
  </si>
  <si>
    <t>Notes</t>
  </si>
  <si>
    <t xml:space="preserve">Sector </t>
  </si>
  <si>
    <t>Stress Factor</t>
  </si>
  <si>
    <t>Total Score</t>
  </si>
  <si>
    <t xml:space="preserve">Decision Recommendations </t>
  </si>
  <si>
    <t xml:space="preserve">FLAG </t>
  </si>
  <si>
    <t>VALUE</t>
  </si>
  <si>
    <t>OUTCOME IF "TRUE"</t>
  </si>
  <si>
    <t>STRESS_FACTOR</t>
  </si>
  <si>
    <t>Apply to business surplus for stressed DSCR.</t>
  </si>
  <si>
    <t>Trade</t>
  </si>
  <si>
    <t>85+</t>
  </si>
  <si>
    <t>Very Low Risk</t>
  </si>
  <si>
    <t>Approve</t>
  </si>
  <si>
    <t>Business Age</t>
  </si>
  <si>
    <t>DECISION: Reject</t>
  </si>
  <si>
    <t>DSCR_TARGET</t>
  </si>
  <si>
    <t>Target DSCR (stressed).</t>
  </si>
  <si>
    <t>Service</t>
  </si>
  <si>
    <t>70-84</t>
  </si>
  <si>
    <t>Low Risk</t>
  </si>
  <si>
    <t>Approve With Conditions</t>
  </si>
  <si>
    <t>Cash Flow Deficit and/or repayment share</t>
  </si>
  <si>
    <t>CASHFLOW_DEFICIT_REPAY_SHARE_MAX</t>
  </si>
  <si>
    <t>Reject if installment &gt;50% of (unstressed) surplus.</t>
  </si>
  <si>
    <t>Manufacturing</t>
  </si>
  <si>
    <t>55-69</t>
  </si>
  <si>
    <t>Moderate Risk</t>
  </si>
  <si>
    <t>Refer Head Office</t>
  </si>
  <si>
    <t>Income Variance</t>
  </si>
  <si>
    <t>LTV_MAX_MOVABLE</t>
  </si>
  <si>
    <t>Flag if LTV &gt;125% (movable).</t>
  </si>
  <si>
    <t>Agriculture</t>
  </si>
  <si>
    <t>40-54</t>
  </si>
  <si>
    <t>High Risk</t>
  </si>
  <si>
    <t>Reject</t>
  </si>
  <si>
    <t>Equity Min Ratio</t>
  </si>
  <si>
    <t>FLAG: Refer</t>
  </si>
  <si>
    <t>LTV_MAX_IMMOVABLE</t>
  </si>
  <si>
    <t>Flag if LTV &gt;110% (immovable).</t>
  </si>
  <si>
    <t>Other</t>
  </si>
  <si>
    <t>1-39</t>
  </si>
  <si>
    <t>Very High Risk</t>
  </si>
  <si>
    <t>Training Certification</t>
  </si>
  <si>
    <t>EQUITY_MIN_RATIO</t>
  </si>
  <si>
    <t>Refer if equity &lt;10% of loan.</t>
  </si>
  <si>
    <t>LTV</t>
  </si>
  <si>
    <t>INCOME_VARIANCE_MAX</t>
  </si>
  <si>
    <t>Reject if stated vs verified income variance &gt;20%.</t>
  </si>
  <si>
    <t>Collateral &amp; Insurance</t>
  </si>
  <si>
    <t>BUSINESS_AGE_MIN</t>
  </si>
  <si>
    <t>Business age lower bound (months)</t>
  </si>
  <si>
    <t>Branch Approval Limit</t>
  </si>
  <si>
    <t>AGE_MAX</t>
  </si>
  <si>
    <t>Borrower age upper bound.</t>
  </si>
  <si>
    <t>Hard Max Amount</t>
  </si>
  <si>
    <t>BRANCH_APPROVAL_LIMIT_ETB</t>
  </si>
  <si>
    <t>Branch-level approval ceiling.</t>
  </si>
  <si>
    <t>Prior Default Flag</t>
  </si>
  <si>
    <t>BUSINESS_LOAN_HARD_MAX_ETB</t>
  </si>
  <si>
    <t>Single borrower maximum ≤ 1% of total capital</t>
  </si>
  <si>
    <t>WEIGHT_CHARACTER</t>
  </si>
  <si>
    <t>Max points. (not percentage)</t>
  </si>
  <si>
    <t>WEIGHT_CAPACITY</t>
  </si>
  <si>
    <t>Max points.</t>
  </si>
  <si>
    <t>WEIGHT_CAPITAL</t>
  </si>
  <si>
    <t>WEIGHT_COLLATERAL</t>
  </si>
  <si>
    <t>WEIGHT_CONDITION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</si>
</sst>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Birr]#,##0.00"/>
    <numFmt numFmtId="165" formatCode="0.0%"/>
  </numFmts>
  <fonts count="18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color rgb="FF1F4E79"/>
      <name val="Calibri"/>
      <scheme val="minor"/>
    </font>
    <font>
      <b/>
      <color rgb="FF000000"/>
      <name val="Calibri"/>
      <scheme val="minor"/>
    </font>
    <font>
      <color rgb="FF0000FF"/>
      <name val="Calibri"/>
      <scheme val="minor"/>
    </font>
    <font>
      <color rgb="FFFF0000"/>
      <name val="Calibri"/>
      <scheme val="minor"/>
    </font>
    <font>
      <b/>
      <sz val="11.0"/>
      <color rgb="FF1F4E79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000000"/>
      <name val="Calibri"/>
      <scheme val="minor"/>
    </font>
    <font>
      <b/>
      <sz val="11.0"/>
      <color theme="1"/>
      <name val="Calibri"/>
    </font>
    <font>
      <b/>
      <sz val="14.0"/>
      <color rgb="FF000000"/>
      <name val="Calibri"/>
      <scheme val="minor"/>
    </font>
    <font>
      <b/>
      <color rgb="FF9C0006"/>
      <name val="Calibri"/>
      <scheme val="minor"/>
    </font>
    <font>
      <b/>
      <sz val="12.0"/>
      <color theme="1"/>
      <name val="Calibri"/>
      <scheme val="minor"/>
    </font>
    <font>
      <b/>
      <color rgb="FFFFFFFF"/>
      <name val="Calibri"/>
      <scheme val="minor"/>
    </font>
    <font>
      <b/>
      <color theme="0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9E9E9E"/>
        <bgColor rgb="FF9E9E9E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30">
    <border/>
    <border>
      <left/>
      <right/>
      <top/>
      <bottom/>
    </border>
    <border>
      <left style="medium">
        <color rgb="FF1F4E79"/>
      </left>
      <top style="medium">
        <color rgb="FF1F4E79"/>
      </top>
      <bottom style="medium">
        <color rgb="FF1F4E79"/>
      </bottom>
    </border>
    <border>
      <top style="medium">
        <color rgb="FF1F4E79"/>
      </top>
      <bottom style="medium">
        <color rgb="FF1F4E79"/>
      </bottom>
    </border>
    <border>
      <right style="medium">
        <color rgb="FF1F4E79"/>
      </right>
      <top style="medium">
        <color rgb="FF1F4E79"/>
      </top>
      <bottom style="medium">
        <color rgb="FF1F4E79"/>
      </bottom>
    </border>
    <border>
      <left style="thin">
        <color rgb="FF9E9E9E"/>
      </left>
      <top style="thin">
        <color rgb="FF9E9E9E"/>
      </top>
      <bottom style="thin">
        <color rgb="FF9E9E9E"/>
      </bottom>
    </border>
    <border>
      <top style="thin">
        <color rgb="FF9E9E9E"/>
      </top>
      <bottom style="thin">
        <color rgb="FF9E9E9E"/>
      </bottom>
    </border>
    <border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9E9E9E"/>
      </left>
      <right style="thin">
        <color rgb="FF9E9E9E"/>
      </right>
      <top style="thin">
        <color rgb="FF9E9E9E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E9E9E"/>
      </left>
      <right style="thin">
        <color rgb="FF9E9E9E"/>
      </right>
      <bottom style="thin">
        <color rgb="FF9E9E9E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E9E9E"/>
      </left>
      <top style="thin">
        <color rgb="FF9E9E9E"/>
      </top>
    </border>
    <border>
      <top style="thin">
        <color rgb="FF9E9E9E"/>
      </top>
    </border>
    <border>
      <right style="thin">
        <color rgb="FF9E9E9E"/>
      </right>
      <top style="thin">
        <color rgb="FF9E9E9E"/>
      </top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  <border>
      <left style="thin">
        <color rgb="FF9E9E9E"/>
      </left>
    </border>
    <border>
      <right style="thin">
        <color rgb="FF9E9E9E"/>
      </right>
    </border>
    <border>
      <left style="thin">
        <color rgb="FF9E9E9E"/>
      </left>
      <bottom style="thin">
        <color rgb="FF9E9E9E"/>
      </bottom>
    </border>
    <border>
      <bottom style="thin">
        <color rgb="FF9E9E9E"/>
      </bottom>
    </border>
    <border>
      <right style="thin">
        <color rgb="FF9E9E9E"/>
      </right>
      <bottom style="thin">
        <color rgb="FF9E9E9E"/>
      </bottom>
    </border>
    <border>
      <left style="medium">
        <color rgb="FF1F4E79"/>
      </left>
      <bottom style="medium">
        <color rgb="FF1F4E79"/>
      </bottom>
    </border>
    <border>
      <bottom style="medium">
        <color rgb="FF1F4E79"/>
      </bottom>
    </border>
    <border>
      <right style="medium">
        <color rgb="FF1F4E79"/>
      </right>
      <bottom style="medium">
        <color rgb="FF1F4E79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4" numFmtId="0" xfId="0" applyAlignment="1" applyFont="1">
      <alignment horizontal="left" readingOrder="0" shrinkToFit="0" vertical="center" wrapText="1"/>
    </xf>
    <xf borderId="8" fillId="4" fontId="5" numFmtId="0" xfId="0" applyAlignment="1" applyBorder="1" applyFill="1" applyFont="1">
      <alignment horizontal="right" readingOrder="0" shrinkToFit="0" vertical="center" wrapText="1"/>
    </xf>
    <xf borderId="0" fillId="0" fontId="4" numFmtId="0" xfId="0" applyFont="1"/>
    <xf borderId="8" fillId="5" fontId="6" numFmtId="0" xfId="0" applyAlignment="1" applyBorder="1" applyFill="1" applyFont="1">
      <alignment horizontal="righ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0" fillId="0" fontId="8" numFmtId="0" xfId="0" applyFont="1"/>
    <xf borderId="0" fillId="0" fontId="4" numFmtId="0" xfId="0" applyAlignment="1" applyFont="1">
      <alignment horizontal="left" shrinkToFit="0" vertical="center" wrapText="1"/>
    </xf>
    <xf borderId="5" fillId="4" fontId="5" numFmtId="0" xfId="0" applyAlignment="1" applyBorder="1" applyFont="1">
      <alignment horizontal="right" readingOrder="0" shrinkToFit="0" vertical="center" wrapText="1"/>
    </xf>
    <xf borderId="9" fillId="4" fontId="5" numFmtId="0" xfId="0" applyAlignment="1" applyBorder="1" applyFont="1">
      <alignment horizontal="right"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8" fillId="4" fontId="5" numFmtId="0" xfId="0" applyAlignment="1" applyBorder="1" applyFont="1">
      <alignment horizontal="center" readingOrder="0"/>
    </xf>
    <xf borderId="10" fillId="4" fontId="5" numFmtId="0" xfId="0" applyAlignment="1" applyBorder="1" applyFont="1">
      <alignment readingOrder="0"/>
    </xf>
    <xf borderId="8" fillId="4" fontId="5" numFmtId="0" xfId="0" applyAlignment="1" applyBorder="1" applyFont="1">
      <alignment horizontal="right" shrinkToFit="0" vertical="center" wrapText="1"/>
    </xf>
    <xf borderId="11" fillId="4" fontId="5" numFmtId="0" xfId="0" applyAlignment="1" applyBorder="1" applyFont="1">
      <alignment horizontal="right" readingOrder="0" shrinkToFit="0" vertical="center" wrapText="1"/>
    </xf>
    <xf borderId="0" fillId="0" fontId="4" numFmtId="0" xfId="0" applyAlignment="1" applyFont="1">
      <alignment shrinkToFit="0" wrapText="1"/>
    </xf>
    <xf borderId="8" fillId="5" fontId="10" numFmtId="164" xfId="0" applyAlignment="1" applyBorder="1" applyFont="1" applyNumberFormat="1">
      <alignment horizontal="right" shrinkToFit="0" vertical="center" wrapText="1"/>
    </xf>
    <xf borderId="5" fillId="3" fontId="7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5" fillId="4" fontId="5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3" fillId="4" fontId="5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4" fontId="5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8" fillId="4" fontId="5" numFmtId="0" xfId="0" applyAlignment="1" applyBorder="1" applyFont="1">
      <alignment readingOrder="0"/>
    </xf>
    <xf borderId="12" fillId="0" fontId="4" numFmtId="0" xfId="0" applyAlignment="1" applyBorder="1" applyFont="1">
      <alignment vertical="center"/>
    </xf>
    <xf borderId="12" fillId="0" fontId="4" numFmtId="0" xfId="0" applyAlignment="1" applyBorder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14" fillId="4" fontId="5" numFmtId="0" xfId="0" applyAlignment="1" applyBorder="1" applyFont="1">
      <alignment readingOrder="0"/>
    </xf>
    <xf borderId="0" fillId="0" fontId="4" numFmtId="0" xfId="0" applyAlignment="1" applyFont="1">
      <alignment readingOrder="0" vertical="center"/>
    </xf>
    <xf borderId="15" fillId="4" fontId="5" numFmtId="0" xfId="0" applyAlignment="1" applyBorder="1" applyFont="1">
      <alignment readingOrder="0"/>
    </xf>
    <xf borderId="16" fillId="3" fontId="7" numFmtId="0" xfId="0" applyAlignment="1" applyBorder="1" applyFont="1">
      <alignment horizontal="left" readingOrder="0" shrinkToFit="0" vertical="center" wrapText="1"/>
    </xf>
    <xf borderId="17" fillId="0" fontId="2" numFmtId="0" xfId="0" applyBorder="1" applyFont="1"/>
    <xf borderId="18" fillId="0" fontId="2" numFmtId="0" xfId="0" applyBorder="1" applyFont="1"/>
    <xf borderId="12" fillId="0" fontId="4" numFmtId="0" xfId="0" applyAlignment="1" applyBorder="1" applyFont="1">
      <alignment horizontal="left" readingOrder="0" shrinkToFit="0" vertical="center" wrapText="1"/>
    </xf>
    <xf borderId="7" fillId="4" fontId="5" numFmtId="0" xfId="0" applyAlignment="1" applyBorder="1" applyFont="1">
      <alignment horizontal="right" readingOrder="0" shrinkToFit="0" vertical="center" wrapText="1"/>
    </xf>
    <xf borderId="18" fillId="4" fontId="5" numFmtId="0" xfId="0" applyAlignment="1" applyBorder="1" applyFont="1">
      <alignment horizontal="right" readingOrder="0" shrinkToFit="0" vertical="center" wrapText="1"/>
    </xf>
    <xf borderId="12" fillId="0" fontId="9" numFmtId="0" xfId="0" applyAlignment="1" applyBorder="1" applyFont="1">
      <alignment horizontal="left" shrinkToFit="0" vertical="top" wrapText="1"/>
    </xf>
    <xf borderId="12" fillId="0" fontId="11" numFmtId="0" xfId="0" applyAlignment="1" applyBorder="1" applyFont="1">
      <alignment shrinkToFit="0" vertical="top" wrapText="1"/>
    </xf>
    <xf borderId="12" fillId="0" fontId="11" numFmtId="0" xfId="0" applyAlignment="1" applyBorder="1" applyFont="1">
      <alignment readingOrder="0" shrinkToFit="0" vertical="top" wrapText="1"/>
    </xf>
    <xf borderId="8" fillId="5" fontId="10" numFmtId="0" xfId="0" applyAlignment="1" applyBorder="1" applyFont="1">
      <alignment horizontal="right" shrinkToFit="0" vertical="center" wrapText="1"/>
    </xf>
    <xf borderId="8" fillId="5" fontId="10" numFmtId="9" xfId="0" applyAlignment="1" applyBorder="1" applyFont="1" applyNumberFormat="1">
      <alignment horizontal="right" shrinkToFit="0" vertical="center" wrapText="1"/>
    </xf>
    <xf borderId="8" fillId="5" fontId="10" numFmtId="2" xfId="0" applyAlignment="1" applyBorder="1" applyFont="1" applyNumberFormat="1">
      <alignment horizontal="right" shrinkToFit="0" vertical="center" wrapText="1"/>
    </xf>
    <xf borderId="8" fillId="5" fontId="10" numFmtId="165" xfId="0" applyAlignment="1" applyBorder="1" applyFont="1" applyNumberFormat="1">
      <alignment horizontal="right" shrinkToFit="0" vertical="center" wrapText="1"/>
    </xf>
    <xf borderId="0" fillId="0" fontId="4" numFmtId="0" xfId="0" applyAlignment="1" applyFont="1">
      <alignment horizontal="left" readingOrder="0" vertical="center"/>
    </xf>
    <xf borderId="10" fillId="5" fontId="8" numFmtId="4" xfId="0" applyBorder="1" applyFont="1" applyNumberFormat="1"/>
    <xf borderId="0" fillId="0" fontId="8" numFmtId="0" xfId="0" applyAlignment="1" applyFont="1">
      <alignment readingOrder="0"/>
    </xf>
    <xf borderId="19" fillId="5" fontId="12" numFmtId="0" xfId="0" applyAlignment="1" applyBorder="1" applyFont="1">
      <alignment horizontal="center" shrinkToFit="0" vertical="center" wrapText="1"/>
    </xf>
    <xf borderId="8" fillId="5" fontId="9" numFmtId="0" xfId="0" applyAlignment="1" applyBorder="1" applyFont="1">
      <alignment horizontal="center" shrinkToFit="0" vertical="center" wrapText="1"/>
    </xf>
    <xf borderId="16" fillId="5" fontId="13" numFmtId="0" xfId="0" applyAlignment="1" applyBorder="1" applyFont="1">
      <alignment horizontal="left" shrinkToFit="0" vertical="top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4" fontId="14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8" fillId="2" fontId="15" numFmtId="0" xfId="0" applyAlignment="1" applyBorder="1" applyFont="1">
      <alignment horizontal="center" shrinkToFit="0" vertical="center" wrapText="1"/>
    </xf>
    <xf borderId="10" fillId="2" fontId="16" numFmtId="0" xfId="0" applyAlignment="1" applyBorder="1" applyFont="1">
      <alignment horizontal="center" readingOrder="0"/>
    </xf>
    <xf borderId="12" fillId="2" fontId="16" numFmtId="0" xfId="0" applyAlignment="1" applyBorder="1" applyFont="1">
      <alignment readingOrder="0"/>
    </xf>
    <xf borderId="28" fillId="2" fontId="16" numFmtId="0" xfId="0" applyAlignment="1" applyBorder="1" applyFont="1">
      <alignment readingOrder="0"/>
    </xf>
    <xf borderId="29" fillId="2" fontId="16" numFmtId="0" xfId="0" applyAlignment="1" applyBorder="1" applyFont="1">
      <alignment readingOrder="0"/>
    </xf>
    <xf borderId="14" fillId="2" fontId="16" numFmtId="0" xfId="0" applyAlignment="1" applyBorder="1" applyFont="1">
      <alignment readingOrder="0"/>
    </xf>
    <xf borderId="8" fillId="0" fontId="4" numFmtId="0" xfId="0" applyBorder="1" applyFont="1"/>
    <xf borderId="8" fillId="6" fontId="10" numFmtId="0" xfId="0" applyAlignment="1" applyBorder="1" applyFill="1" applyFont="1">
      <alignment horizontal="right" shrinkToFit="0" vertical="center" wrapText="1"/>
    </xf>
    <xf borderId="8" fillId="0" fontId="17" numFmtId="0" xfId="0" applyBorder="1" applyFont="1"/>
    <xf borderId="10" fillId="0" fontId="8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4" fillId="0" fontId="8" numFmtId="0" xfId="0" applyAlignment="1" applyBorder="1" applyFont="1">
      <alignment readingOrder="0"/>
    </xf>
    <xf borderId="14" fillId="7" fontId="8" numFmtId="0" xfId="0" applyBorder="1" applyFill="1" applyFont="1"/>
    <xf borderId="8" fillId="0" fontId="5" numFmtId="0" xfId="0" applyAlignment="1" applyBorder="1" applyFont="1">
      <alignment horizontal="right" shrinkToFit="0" vertical="center" wrapText="1"/>
    </xf>
    <xf borderId="14" fillId="0" fontId="8" numFmtId="0" xfId="0" applyAlignment="1" applyBorder="1" applyFont="1">
      <alignment readingOrder="0" shrinkToFit="0" wrapText="1"/>
    </xf>
    <xf borderId="8" fillId="0" fontId="4" numFmtId="0" xfId="0" applyAlignment="1" applyBorder="1" applyFont="1">
      <alignment readingOrder="0"/>
    </xf>
    <xf borderId="8" fillId="0" fontId="17" numFmtId="0" xfId="0" applyAlignment="1" applyBorder="1" applyFont="1">
      <alignment readingOrder="0"/>
    </xf>
    <xf borderId="8" fillId="0" fontId="5" numFmtId="0" xfId="0" applyAlignment="1" applyBorder="1" applyFont="1">
      <alignment horizontal="right" readingOrder="0" shrinkToFit="0" vertical="center" wrapText="1"/>
    </xf>
    <xf borderId="8" fillId="8" fontId="4" numFmtId="0" xfId="0" applyBorder="1" applyFill="1" applyFont="1"/>
    <xf borderId="8" fillId="8" fontId="5" numFmtId="0" xfId="0" applyAlignment="1" applyBorder="1" applyFont="1">
      <alignment horizontal="right" readingOrder="0" shrinkToFit="0" vertical="center" wrapText="1"/>
    </xf>
    <xf borderId="8" fillId="8" fontId="17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you" id="{21c5cc4d-b96f-4c91-85e0-3fc323034a56}" providerId="google-sheets"/>
  <x18tc:person displayName="Yelekal Mengistu" id="{67a5e1e3-058b-4bd2-8de4-9293894309e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2" dT="2026-02-12T09:43:00.00" personId="{67a5e1e3-058b-4bd2-8de4-9293894309e7}" id="{fe0b926e-464a-4c48-a8ca-ab9d2b1ff342}" done="1">
    <x18tc:text xml:space="preserve">Based on the single borrower exposure limit of ≤ 1% of total capital rule I presume? If so, I think it's best approach.</x18tc:text>
  </x18tc:threadedComment>
  <x18tc:threadedComment ref="B12" dT="2026-02-12T10:44:06.00" personId="{21c5cc4d-b96f-4c91-85e0-3fc323034a56}" id="{6902671b-fc1e-43fe-96d7-5befc26fe3d8}" parentId="{fe0b926e-464a-4c48-a8ca-ab9d2b1ff342}">
    <x18tc:text xml:space="preserve">Yep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.0"/>
    <col customWidth="1" min="2" max="2" width="28.0"/>
    <col customWidth="1" min="3" max="4" width="22.0"/>
    <col customWidth="1" min="5" max="5" width="28.0"/>
    <col customWidth="1" min="6" max="6" width="22.0"/>
    <col customWidth="1" min="7" max="8" width="24.0"/>
    <col customWidth="1" min="9" max="9" width="8.86"/>
    <col customWidth="1" min="10" max="10" width="16.0"/>
    <col customWidth="1" min="11" max="11" width="13.0"/>
    <col customWidth="1" min="12" max="27" width="8.71"/>
  </cols>
  <sheetData>
    <row r="1">
      <c r="B1" s="4" t="s">
        <v>7</v>
      </c>
      <c r="C1" s="5"/>
      <c r="D1" s="5"/>
      <c r="E1" s="5"/>
      <c r="F1" s="5"/>
      <c r="G1" s="5"/>
      <c r="H1" s="6"/>
    </row>
    <row r="2">
      <c r="B2" s="7" t="s">
        <v>8</v>
      </c>
      <c r="C2" s="8"/>
      <c r="D2" s="8"/>
      <c r="E2" s="8"/>
      <c r="F2" s="8"/>
      <c r="G2" s="8"/>
      <c r="H2" s="9"/>
    </row>
    <row r="3">
      <c r="B3" s="10" t="s">
        <v>9</v>
      </c>
      <c r="C3" s="11"/>
      <c r="G3" s="12" t="s">
        <v>10</v>
      </c>
      <c r="H3" s="13">
        <f>BUSINESS_LOAN_HARD_MAX_ETB</f>
        <v>3000000</v>
      </c>
    </row>
    <row r="4">
      <c r="B4" s="10" t="s">
        <v>11</v>
      </c>
      <c r="C4" s="11"/>
      <c r="G4" s="12" t="s">
        <v>12</v>
      </c>
      <c r="H4" s="13">
        <f>BRANCH_APPROVAL_LIMIT_ETB</f>
        <v>50000</v>
      </c>
    </row>
    <row r="5">
      <c r="B5" s="14" t="s">
        <v>13</v>
      </c>
      <c r="C5" s="8"/>
      <c r="D5" s="8"/>
      <c r="E5" s="8"/>
      <c r="F5" s="8"/>
      <c r="G5" s="8"/>
      <c r="H5" s="9"/>
    </row>
    <row r="6">
      <c r="H6" s="15"/>
    </row>
    <row r="7">
      <c r="B7" s="16" t="s">
        <v>14</v>
      </c>
      <c r="C7" s="17"/>
      <c r="D7" s="9"/>
      <c r="E7" s="16" t="s">
        <v>15</v>
      </c>
      <c r="F7" s="11"/>
      <c r="G7" s="16" t="s">
        <v>16</v>
      </c>
      <c r="H7" s="11"/>
    </row>
    <row r="8">
      <c r="B8" s="16" t="s">
        <v>17</v>
      </c>
      <c r="C8" s="18"/>
      <c r="E8" s="19" t="s">
        <v>18</v>
      </c>
      <c r="F8" s="11"/>
      <c r="G8" s="20" t="s">
        <v>19</v>
      </c>
      <c r="H8" s="11"/>
    </row>
    <row r="9">
      <c r="B9" s="10" t="s">
        <v>20</v>
      </c>
      <c r="C9" s="11"/>
      <c r="E9" s="10" t="s">
        <v>21</v>
      </c>
      <c r="F9" s="11"/>
      <c r="G9" s="21" t="s">
        <v>22</v>
      </c>
      <c r="H9" s="22"/>
    </row>
    <row r="10">
      <c r="B10" s="16" t="s">
        <v>23</v>
      </c>
      <c r="C10" s="23"/>
      <c r="E10" s="16" t="s">
        <v>24</v>
      </c>
      <c r="F10" s="24"/>
    </row>
    <row r="11">
      <c r="B11" s="10" t="s">
        <v>25</v>
      </c>
      <c r="C11" s="25"/>
      <c r="E11" s="10" t="s">
        <v>26</v>
      </c>
      <c r="F11" s="11"/>
    </row>
    <row r="12">
      <c r="B12" s="16" t="s">
        <v>27</v>
      </c>
      <c r="C12" s="11"/>
      <c r="E12" s="16" t="s">
        <v>28</v>
      </c>
      <c r="F12" s="11"/>
      <c r="G12" s="26" t="s">
        <v>29</v>
      </c>
      <c r="H12" s="27" t="str">
        <f>IF(F11&lt;&gt;"",F11,IF(AND(C11&lt;&gt;"",C12&lt;&gt;"",F12&lt;&gt;""),-PMT((F12/100)/12,C12,C11),"" ))</f>
        <v/>
      </c>
    </row>
    <row r="14">
      <c r="B14" s="28" t="s">
        <v>30</v>
      </c>
      <c r="C14" s="8"/>
      <c r="D14" s="8"/>
      <c r="E14" s="8"/>
      <c r="F14" s="8"/>
      <c r="G14" s="8"/>
      <c r="H14" s="9"/>
    </row>
    <row r="15">
      <c r="F15" s="15"/>
    </row>
    <row r="16">
      <c r="B16" s="29" t="s">
        <v>31</v>
      </c>
      <c r="C16" s="30"/>
      <c r="D16" s="9"/>
      <c r="E16" s="31" t="s">
        <v>32</v>
      </c>
      <c r="F16" s="32"/>
      <c r="G16" s="33" t="s">
        <v>33</v>
      </c>
      <c r="H16" s="34">
        <v>0.0</v>
      </c>
    </row>
    <row r="17">
      <c r="B17" s="35" t="s">
        <v>34</v>
      </c>
      <c r="C17" s="36"/>
      <c r="E17" s="37" t="s">
        <v>35</v>
      </c>
      <c r="F17" s="32"/>
      <c r="G17" s="38" t="s">
        <v>36</v>
      </c>
      <c r="H17" s="32"/>
    </row>
    <row r="18">
      <c r="B18" s="35" t="s">
        <v>37</v>
      </c>
      <c r="C18" s="30"/>
      <c r="D18" s="9"/>
      <c r="E18" s="39" t="s">
        <v>38</v>
      </c>
      <c r="F18" s="40"/>
      <c r="G18" s="21" t="s">
        <v>39</v>
      </c>
      <c r="H18" s="36"/>
    </row>
    <row r="19">
      <c r="B19" s="41" t="s">
        <v>40</v>
      </c>
      <c r="C19" s="30"/>
      <c r="D19" s="9"/>
      <c r="E19" s="20" t="s">
        <v>41</v>
      </c>
      <c r="F19" s="42"/>
    </row>
    <row r="20">
      <c r="F20" s="15"/>
      <c r="H20" s="15"/>
    </row>
    <row r="21">
      <c r="B21" s="43" t="s">
        <v>42</v>
      </c>
      <c r="C21" s="44"/>
      <c r="D21" s="44"/>
      <c r="E21" s="44"/>
      <c r="F21" s="44"/>
      <c r="G21" s="44"/>
      <c r="H21" s="45"/>
    </row>
    <row r="23">
      <c r="B23" s="46" t="s">
        <v>43</v>
      </c>
      <c r="C23" s="47"/>
      <c r="E23" s="10" t="s">
        <v>44</v>
      </c>
      <c r="F23" s="11"/>
    </row>
    <row r="24">
      <c r="B24" s="46" t="s">
        <v>45</v>
      </c>
      <c r="C24" s="48"/>
      <c r="E24" s="10" t="s">
        <v>46</v>
      </c>
      <c r="F24" s="11"/>
    </row>
    <row r="25">
      <c r="B25" s="49" t="s">
        <v>47</v>
      </c>
      <c r="C25" s="32"/>
      <c r="E25" s="10" t="s">
        <v>48</v>
      </c>
      <c r="F25" s="11"/>
    </row>
    <row r="26">
      <c r="B26" s="50" t="s">
        <v>49</v>
      </c>
      <c r="C26" s="32"/>
      <c r="E26" s="20" t="s">
        <v>50</v>
      </c>
      <c r="F26" s="11"/>
    </row>
    <row r="27">
      <c r="B27" s="50" t="s">
        <v>51</v>
      </c>
      <c r="C27" s="32"/>
    </row>
    <row r="28">
      <c r="B28" s="50" t="s">
        <v>52</v>
      </c>
      <c r="C28" s="32"/>
    </row>
    <row r="29">
      <c r="B29" s="51" t="s">
        <v>53</v>
      </c>
      <c r="C29" s="32"/>
    </row>
    <row r="31">
      <c r="B31" s="10" t="s">
        <v>54</v>
      </c>
      <c r="C31" s="52" t="str">
        <f>IF(OR(C25="",C26="",C27="",C28="",C29=""),"",C25+C26+C27+C28+C29)</f>
        <v/>
      </c>
      <c r="E31" s="12" t="s">
        <v>55</v>
      </c>
      <c r="F31" s="52" t="str">
        <f>IF(C32="","",C32*STRESS_FACTOR)</f>
        <v/>
      </c>
      <c r="G31" s="33" t="s">
        <v>56</v>
      </c>
      <c r="H31" s="53" t="str">
        <f>IF(OR(F23="",C32=""),"",IF(F23=0,"",C32/F23))</f>
        <v/>
      </c>
    </row>
    <row r="32">
      <c r="B32" s="35" t="s">
        <v>57</v>
      </c>
      <c r="C32" s="52" t="str">
        <f>IF(OR(F23="",C24="",C31=""),"",F23-C24-C31)</f>
        <v/>
      </c>
      <c r="E32" s="26" t="s">
        <v>58</v>
      </c>
      <c r="F32" s="52" t="str">
        <f>IF(OR(F31="",F24="",F25="",F26=""),"",F31+F24-F25-F26)</f>
        <v/>
      </c>
    </row>
    <row r="33" ht="15.75" customHeight="1">
      <c r="B33" s="26" t="s">
        <v>59</v>
      </c>
      <c r="C33" s="52" t="str">
        <f>IF(OR(C32="",F24="",F25="",F26=""),"",C32+F24-F25-F26)</f>
        <v/>
      </c>
      <c r="E33" s="21" t="s">
        <v>60</v>
      </c>
      <c r="F33" s="54" t="str">
        <f>IF(OR(H12="",F32=""),"",IF(H12=0,"",F32/H12))</f>
        <v/>
      </c>
      <c r="G33" s="20" t="s">
        <v>61</v>
      </c>
      <c r="H33" s="54" t="str">
        <f>IF(OR(H12="",C32=""),"",IF(H12=0,"",C32/H12))</f>
        <v/>
      </c>
    </row>
    <row r="34" ht="15.75" customHeight="1">
      <c r="B34" s="26" t="s">
        <v>62</v>
      </c>
      <c r="C34" s="55" t="str">
        <f>IF(OR(H12="",C33=""),"",IF(C33&lt;=0,1,H12/C33))</f>
        <v/>
      </c>
      <c r="E34" s="26" t="s">
        <v>63</v>
      </c>
      <c r="F34" s="55" t="str">
        <f>IF(OR(C23="",F23="",F23=0),"",ABS(C23-F23)/F23)</f>
        <v/>
      </c>
    </row>
    <row r="35" ht="15.75" customHeight="1">
      <c r="B35" s="28" t="s">
        <v>64</v>
      </c>
      <c r="C35" s="8"/>
      <c r="D35" s="8"/>
      <c r="E35" s="8"/>
      <c r="F35" s="8"/>
      <c r="G35" s="8"/>
      <c r="H35" s="9"/>
    </row>
    <row r="36" ht="15.75" customHeight="1">
      <c r="B36" s="56" t="s">
        <v>65</v>
      </c>
      <c r="C36" s="11"/>
      <c r="E36" s="21" t="s">
        <v>66</v>
      </c>
      <c r="F36" s="18"/>
    </row>
    <row r="37" ht="15.75" customHeight="1">
      <c r="B37" s="29" t="s">
        <v>67</v>
      </c>
      <c r="C37" s="55" t="str">
        <f>IF(OR(C11="",C11=0,C36="",F36=""),"",(C36+F36)/C11)</f>
        <v/>
      </c>
      <c r="E37" s="33" t="s">
        <v>68</v>
      </c>
      <c r="F37" s="57" t="str">
        <f>IF(OR(F36="",C31="",C24="",H12="",F26=""),"",F36/(C24+C31+H12+F26))</f>
        <v/>
      </c>
    </row>
    <row r="38" ht="15.75" customHeight="1">
      <c r="B38" s="29"/>
      <c r="E38" s="58"/>
    </row>
    <row r="39" ht="15.75" customHeight="1">
      <c r="B39" s="14" t="s">
        <v>69</v>
      </c>
      <c r="C39" s="8"/>
      <c r="D39" s="8"/>
      <c r="E39" s="8"/>
      <c r="F39" s="8"/>
      <c r="G39" s="8"/>
      <c r="H39" s="9"/>
    </row>
    <row r="40" ht="15.75" customHeight="1">
      <c r="B40" s="12" t="s">
        <v>70</v>
      </c>
      <c r="C40" s="36"/>
      <c r="E40" s="12" t="s">
        <v>71</v>
      </c>
      <c r="F40" s="36"/>
    </row>
    <row r="41" ht="15.75" customHeight="1">
      <c r="B41" s="12" t="s">
        <v>72</v>
      </c>
      <c r="C41" s="11"/>
    </row>
    <row r="42" ht="15.75" customHeight="1">
      <c r="B42" s="12" t="s">
        <v>73</v>
      </c>
      <c r="C42" s="53">
        <f>IF(C40="Movable",0.5,IF(C40="Immovable",0.3,0))</f>
        <v>0</v>
      </c>
      <c r="E42" s="33" t="s">
        <v>74</v>
      </c>
      <c r="F42" s="54" t="str">
        <f>IF(H42="","",1/H42)</f>
        <v/>
      </c>
      <c r="G42" s="12" t="s">
        <v>75</v>
      </c>
      <c r="H42" s="54" t="str">
        <f>IF(OR(C11="",C41="",C40=""),"",IF(C40="None",99,C11/(C41*(1-C42))))</f>
        <v/>
      </c>
    </row>
    <row r="43" ht="15.75" customHeight="1"/>
    <row r="44" ht="15.75" customHeight="1">
      <c r="B44" s="14" t="s">
        <v>76</v>
      </c>
      <c r="C44" s="8"/>
      <c r="D44" s="8"/>
      <c r="E44" s="8"/>
      <c r="F44" s="8"/>
      <c r="G44" s="8"/>
      <c r="H44" s="9"/>
    </row>
    <row r="45" ht="15.75" customHeight="1">
      <c r="E45" s="12" t="s">
        <v>77</v>
      </c>
      <c r="F45" s="59">
        <f>MAX(1,MIN(99,IF(OR(C46="",C47="",C48="",C49="",C50=""),"",C46+C47+C48+C49+C50)))</f>
        <v>1</v>
      </c>
      <c r="G45" s="12" t="s">
        <v>78</v>
      </c>
      <c r="H45" s="60" t="str">
        <f>IF(F45="","",IF(F45&gt;=85,"Very Low Risk",IF(F45&gt;=70,"Low Risk",IF(F45&gt;=55,"Moderate Risk",IF(F45&gt;=40,"High Risk","Very High Risk")))))</f>
        <v>Very High Risk</v>
      </c>
    </row>
    <row r="46" ht="15.75" customHeight="1">
      <c r="B46" s="41" t="s">
        <v>79</v>
      </c>
      <c r="C46" s="52">
        <f>MIN(W_CHARACTER,IF(F17="Yes",5,0)+IF(H7="F",3,0)+IF(F18="",0,IF(F18&gt;=36,12,IF(F18&gt;=24,10,IF(F18&gt;=12,6,0))))+IF(H18="Good",5,IF(H18="Average",2,0))+IF(C8&gt;=40,2,0)+IF(F8="Married",1,0)+IF(C9="Yes",3,0)+IF(AND(C9="Yes",F9&gt;=3),5,0))</f>
        <v>0</v>
      </c>
    </row>
    <row r="47" ht="15.75" customHeight="1">
      <c r="B47" s="29" t="s">
        <v>80</v>
      </c>
      <c r="C47" s="52">
        <f>MIN(W_CAPACITY,IF(F33="",0,IF(F33&gt;=1.5,34,IF(F33&gt;=DSCR_TARGET,28,IF(F33&gt;=1.1,18,IF(F33&gt;=0.9,8,0))))))</f>
        <v>0</v>
      </c>
      <c r="E47" s="35" t="s">
        <v>81</v>
      </c>
      <c r="F47" s="61" t="str">
        <f>TEXTJOIN(CHAR(10),TRUE,IF(Age_Flag,"REJECT: Business less than 6 months",""),IF(CFDeficit_Flag,"REJECT: Cash flow deficit (repayment &gt;50% of surplus)",""),IF(Income_Var_Flag,"REJECT: Data inconsistency (&gt;20% variance)",""),IF(Default_Flag,"REJECT: Prior default with HMFI",""),IF(Loan_Max_Flag,"REJECT: Above hard max loan amount",""),IF(Equity_Flag,"REFER: Equity &lt;10% of loan",""),IF(Training_Flag,"REFER: No training/certification",""),IF(LTV_Flag,"REFER: Collateral shortfall (LTV too high)",""),IF(Collateral_Flag,"REFER: Collateral not insured",""),IF(Branch_Limit_Flag,"REFER: Above branch approval limit",""),IF(C40="None","REJECT: No Collateral",""))</f>
        <v>REJECT: Business less than 6 months</v>
      </c>
      <c r="G47" s="44"/>
      <c r="H47" s="45"/>
    </row>
    <row r="48" ht="15.75" customHeight="1">
      <c r="B48" s="29" t="s">
        <v>82</v>
      </c>
      <c r="C48" s="52">
        <f>MIN(W_CAPITAL,IF(C37="",0,IF(C37&gt;=0.2,15,IF(C37&gt;=0.15,12,IF(C37&gt;=EQUITY_MIN_RATIO,8,IF(C37&gt;=0.05,3,0))))) )</f>
        <v>0</v>
      </c>
      <c r="F48" s="62"/>
      <c r="H48" s="63"/>
    </row>
    <row r="49" ht="15.75" customHeight="1">
      <c r="B49" s="12" t="s">
        <v>83</v>
      </c>
      <c r="C49" s="52">
        <f>MIN(W_COLLATERAL,IF(C40="None",0,IF(H42="",0,IF(OR(AND(C40="Movable",H42&lt;=1),AND(C40="Immovable",H42&lt;=1)),10,IF(OR(AND(C40="Movable",H42&lt;=LTV_MAX_MOVABLE),AND(C40="Immovable",H42&lt;=LTV_MAX_IMMOVABLE)),6,0)))-IF(AND(C40&lt;&gt;"None",F40="No"),2,0)))</f>
        <v>0</v>
      </c>
      <c r="F49" s="62"/>
      <c r="H49" s="63"/>
    </row>
    <row r="50" ht="27.75" customHeight="1">
      <c r="B50" s="41" t="s">
        <v>84</v>
      </c>
      <c r="C50" s="52">
        <f>MIN(W_CONDITION,(IF(H16&gt;=4,5,IF(H16=3,3,0))+IF(H17="No",2,0)+IF(AND(F19=F18,F18&gt;=6),2,0)+IF(C17="Trade",3,IF(C17="Service",2,IF(C17="Agriculture",1,IF(C17="Other",0,IF(C17="Manufacturing",1,0)))))))</f>
        <v>0</v>
      </c>
      <c r="F50" s="64"/>
      <c r="G50" s="65"/>
      <c r="H50" s="66"/>
    </row>
    <row r="51" ht="15.75" customHeight="1">
      <c r="E51" s="12" t="s">
        <v>85</v>
      </c>
      <c r="F51" s="67" t="str">
        <f>IF(OR(Age_Flag,CFDeficit_Flag,Income_Var_Flag,Default_Flag,Loan_Max_Flag,C40="None"),"REJECT",IF(F45&lt;=54,"REJECT",IF(OR(Branch_Limit_Flag,LTV_Flag,Collateral_Flag),"REFER – HEAD OFFICE",IF(OR(F45&lt;=69,Equity_Flag,Training_Flag),"APPROVE WITH CONDITIONS – BRANCH MANAGER","APPROVE"))))</f>
        <v>REJECT</v>
      </c>
      <c r="G51" s="68"/>
      <c r="H51" s="6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6">
    <mergeCell ref="B1:H1"/>
    <mergeCell ref="B2:H2"/>
    <mergeCell ref="B5:H5"/>
    <mergeCell ref="C7:D7"/>
    <mergeCell ref="B14:H14"/>
    <mergeCell ref="C16:D16"/>
    <mergeCell ref="C18:D18"/>
    <mergeCell ref="F47:H50"/>
    <mergeCell ref="F51:H51"/>
    <mergeCell ref="C19:D19"/>
    <mergeCell ref="B21:H21"/>
    <mergeCell ref="B35:H35"/>
    <mergeCell ref="B38:D38"/>
    <mergeCell ref="B39:H39"/>
    <mergeCell ref="B44:H44"/>
    <mergeCell ref="E47:E50"/>
  </mergeCells>
  <conditionalFormatting sqref="F45">
    <cfRule type="cellIs" dxfId="0" priority="1" operator="between">
      <formula>85</formula>
      <formula>99</formula>
    </cfRule>
  </conditionalFormatting>
  <conditionalFormatting sqref="F45">
    <cfRule type="cellIs" dxfId="1" priority="2" operator="between">
      <formula>70</formula>
      <formula>84</formula>
    </cfRule>
  </conditionalFormatting>
  <conditionalFormatting sqref="F45">
    <cfRule type="cellIs" dxfId="2" priority="3" operator="between">
      <formula>55</formula>
      <formula>69</formula>
    </cfRule>
  </conditionalFormatting>
  <conditionalFormatting sqref="F45">
    <cfRule type="cellIs" dxfId="3" priority="4" operator="between">
      <formula>40</formula>
      <formula>54</formula>
    </cfRule>
  </conditionalFormatting>
  <conditionalFormatting sqref="F45">
    <cfRule type="cellIs" dxfId="4" priority="5" operator="between">
      <formula>1</formula>
      <formula>39</formula>
    </cfRule>
  </conditionalFormatting>
  <conditionalFormatting sqref="F51">
    <cfRule type="expression" dxfId="4" priority="6">
      <formula>LEFT(F51,6)="REJECT"</formula>
    </cfRule>
  </conditionalFormatting>
  <conditionalFormatting sqref="F51">
    <cfRule type="expression" dxfId="2" priority="7">
      <formula>LEFT(F51,4)="REFE"</formula>
    </cfRule>
  </conditionalFormatting>
  <conditionalFormatting sqref="F51">
    <cfRule type="expression" dxfId="1" priority="8">
      <formula>LEFT(F51,6)="APPROV"</formula>
    </cfRule>
  </conditionalFormatting>
  <dataValidations>
    <dataValidation type="list" allowBlank="1" sqref="F9">
      <formula1>"2,3,4,5+"</formula1>
    </dataValidation>
    <dataValidation type="list" allowBlank="1" sqref="C17">
      <formula1>"Trade,Service,Manufacturing,Agriculture,Other"</formula1>
    </dataValidation>
    <dataValidation type="list" allowBlank="1" sqref="C40">
      <formula1>"Movable,Immovable,None"</formula1>
    </dataValidation>
    <dataValidation type="list" allowBlank="1" sqref="F8">
      <formula1>"Married,Single,Widowed"</formula1>
    </dataValidation>
    <dataValidation type="list" allowBlank="1" sqref="H18">
      <formula1>"Good,Average,Poor"</formula1>
    </dataValidation>
    <dataValidation type="list" allowBlank="1" showErrorMessage="1" sqref="H16">
      <formula1>"0,1,2,3,4,5"</formula1>
    </dataValidation>
    <dataValidation type="list" allowBlank="1" sqref="C19">
      <formula1>"Working Capital,Inventory Financing,Equipment Purchase,Business Expansion,Agricultural Input (seeds, fertilizer, feed etc),Livestock Purchse,Other"</formula1>
    </dataValidation>
    <dataValidation type="list" allowBlank="1" sqref="H9 F17 H17 F40">
      <formula1>"Yes,No"</formula1>
    </dataValidation>
    <dataValidation type="list" allowBlank="1" sqref="F16">
      <formula1>"Sole Proprietor,Partnership,PLC,Share Company,Informal,Other"</formula1>
    </dataValidation>
    <dataValidation type="list" allowBlank="1" sqref="C10">
      <formula1>"Head Office,Hakim,Sofi,Erer,Other"</formula1>
    </dataValidation>
    <dataValidation type="list" allowBlank="1" sqref="H8">
      <formula1>"No Formal Education,Elementary/Primary,Secondary/High School,University,College/TVET"</formula1>
    </dataValidation>
    <dataValidation type="list" allowBlank="1" sqref="H7">
      <formula1>"M,F"</formula1>
    </dataValidation>
    <dataValidation type="list" allowBlank="1" sqref="C9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46.0"/>
    <col customWidth="1" min="4" max="4" width="8.71"/>
    <col customWidth="1" min="5" max="5" width="13.71"/>
    <col customWidth="1" min="6" max="6" width="12.14"/>
    <col customWidth="1" min="7" max="7" width="8.71"/>
    <col customWidth="1" min="8" max="8" width="13.0"/>
    <col customWidth="1" min="9" max="9" width="13.43"/>
    <col customWidth="1" min="10" max="10" width="25.71"/>
    <col customWidth="1" min="11" max="11" width="10.43"/>
    <col customWidth="1" min="12" max="12" width="24.14"/>
    <col customWidth="1" min="13" max="13" width="25.14"/>
    <col customWidth="1" min="14" max="14" width="18.86"/>
    <col customWidth="1" min="15" max="28" width="8.71"/>
  </cols>
  <sheetData>
    <row r="1">
      <c r="A1" s="70" t="s">
        <v>86</v>
      </c>
      <c r="B1" s="70" t="s">
        <v>87</v>
      </c>
      <c r="C1" s="70" t="s">
        <v>88</v>
      </c>
      <c r="E1" s="71" t="s">
        <v>89</v>
      </c>
      <c r="F1" s="71" t="s">
        <v>90</v>
      </c>
      <c r="H1" s="72" t="s">
        <v>91</v>
      </c>
      <c r="I1" s="73" t="s">
        <v>78</v>
      </c>
      <c r="J1" s="74" t="s">
        <v>92</v>
      </c>
      <c r="L1" s="75" t="s">
        <v>93</v>
      </c>
      <c r="M1" s="75" t="s">
        <v>94</v>
      </c>
      <c r="N1" s="75" t="s">
        <v>95</v>
      </c>
    </row>
    <row r="2">
      <c r="A2" s="76" t="s">
        <v>96</v>
      </c>
      <c r="B2" s="77" t="str">
        <f t="array" ref="B2">XLOOKUP(BL_Scorecard!C17, E2:E6, F2:F6,"")
</f>
        <v/>
      </c>
      <c r="C2" s="78" t="s">
        <v>97</v>
      </c>
      <c r="E2" s="79" t="s">
        <v>98</v>
      </c>
      <c r="F2" s="80">
        <v>0.85</v>
      </c>
      <c r="H2" s="81" t="s">
        <v>99</v>
      </c>
      <c r="I2" s="81" t="s">
        <v>100</v>
      </c>
      <c r="J2" s="81" t="s">
        <v>101</v>
      </c>
      <c r="L2" s="81" t="s">
        <v>102</v>
      </c>
      <c r="M2" s="82" t="b">
        <f>OR(BL_Scorecard!F18="",BL_Scorecard!F18&lt;BUSINESS_AGE_MIN)</f>
        <v>1</v>
      </c>
      <c r="N2" s="81" t="s">
        <v>103</v>
      </c>
    </row>
    <row r="3">
      <c r="A3" s="76" t="s">
        <v>104</v>
      </c>
      <c r="B3" s="83">
        <v>1.3</v>
      </c>
      <c r="C3" s="78" t="s">
        <v>105</v>
      </c>
      <c r="E3" s="79" t="s">
        <v>106</v>
      </c>
      <c r="F3" s="80">
        <v>0.8</v>
      </c>
      <c r="H3" s="81" t="s">
        <v>107</v>
      </c>
      <c r="I3" s="81" t="s">
        <v>108</v>
      </c>
      <c r="J3" s="81" t="s">
        <v>109</v>
      </c>
      <c r="L3" s="84" t="s">
        <v>110</v>
      </c>
      <c r="M3" s="82" t="b">
        <f>IF(OR(BL_Scorecard!C33="",BL_Scorecard!H12=""),FALSE,IF(OR(BL_Scorecard!C33&lt;=0,BL_Scorecard!C34&gt;CASHFLOW_DEFICIT_REPAY_SHARE_MAX),TRUE,FALSE))</f>
        <v>0</v>
      </c>
      <c r="N3" s="81" t="s">
        <v>103</v>
      </c>
    </row>
    <row r="4">
      <c r="A4" s="76" t="s">
        <v>111</v>
      </c>
      <c r="B4" s="83">
        <v>0.5</v>
      </c>
      <c r="C4" s="78" t="s">
        <v>112</v>
      </c>
      <c r="E4" s="79" t="s">
        <v>113</v>
      </c>
      <c r="F4" s="80">
        <v>0.7</v>
      </c>
      <c r="H4" s="81" t="s">
        <v>114</v>
      </c>
      <c r="I4" s="81" t="s">
        <v>115</v>
      </c>
      <c r="J4" s="81" t="s">
        <v>116</v>
      </c>
      <c r="L4" s="81" t="s">
        <v>117</v>
      </c>
      <c r="M4" s="82" t="b">
        <f>IF(BL_Scorecard!F34="",FALSE,IF(BL_Scorecard!F34&gt;DATA_VARIANCE_MAX,TRUE,FALSE))</f>
        <v>0</v>
      </c>
      <c r="N4" s="81" t="s">
        <v>103</v>
      </c>
    </row>
    <row r="5">
      <c r="A5" s="76" t="s">
        <v>118</v>
      </c>
      <c r="B5" s="83">
        <v>1.25</v>
      </c>
      <c r="C5" s="78" t="s">
        <v>119</v>
      </c>
      <c r="E5" s="79" t="s">
        <v>120</v>
      </c>
      <c r="F5" s="80">
        <v>0.6</v>
      </c>
      <c r="H5" s="81" t="s">
        <v>121</v>
      </c>
      <c r="I5" s="81" t="s">
        <v>122</v>
      </c>
      <c r="J5" s="81" t="s">
        <v>123</v>
      </c>
      <c r="L5" s="81" t="s">
        <v>124</v>
      </c>
      <c r="M5" s="82" t="b">
        <f>IF(BL_Scorecard!C37="",FALSE,IF(BL_Scorecard!C37&lt;EQUITY_MIN_RATIO,TRUE,FALSE))</f>
        <v>0</v>
      </c>
      <c r="N5" s="81" t="s">
        <v>125</v>
      </c>
    </row>
    <row r="6">
      <c r="A6" s="76" t="s">
        <v>126</v>
      </c>
      <c r="B6" s="83">
        <v>1.1</v>
      </c>
      <c r="C6" s="78" t="s">
        <v>127</v>
      </c>
      <c r="E6" s="79" t="s">
        <v>128</v>
      </c>
      <c r="F6" s="80">
        <v>0.55</v>
      </c>
      <c r="H6" s="81" t="s">
        <v>129</v>
      </c>
      <c r="I6" s="81" t="s">
        <v>130</v>
      </c>
      <c r="J6" s="81" t="s">
        <v>123</v>
      </c>
      <c r="L6" s="81" t="s">
        <v>131</v>
      </c>
      <c r="M6" s="82" t="b">
        <f>IF(BL_Scorecard!F17="",FALSE,IF(BL_Scorecard!F17="No",TRUE,FALSE))</f>
        <v>0</v>
      </c>
      <c r="N6" s="81" t="s">
        <v>125</v>
      </c>
    </row>
    <row r="7">
      <c r="A7" s="85" t="s">
        <v>132</v>
      </c>
      <c r="B7" s="83">
        <v>0.1</v>
      </c>
      <c r="C7" s="86" t="s">
        <v>133</v>
      </c>
      <c r="L7" s="81" t="s">
        <v>134</v>
      </c>
      <c r="M7" s="82" t="b">
        <f>IF(BL_Scorecard!H42="",FALSE,IF(OR(AND(BL_Scorecard!C40="Movable",BL_Scorecard!H42&gt;LTV_MAX_MOVABLE),AND(BL_Scorecard!C40="Immovable",BL_Scorecard!H42&gt;LTV_MAX_IMMOVABLE)),TRUE,FALSE))</f>
        <v>0</v>
      </c>
      <c r="N7" s="81" t="s">
        <v>125</v>
      </c>
    </row>
    <row r="8">
      <c r="A8" s="85" t="s">
        <v>135</v>
      </c>
      <c r="B8" s="83">
        <v>0.2</v>
      </c>
      <c r="C8" s="78" t="s">
        <v>136</v>
      </c>
      <c r="L8" s="81" t="s">
        <v>137</v>
      </c>
      <c r="M8" s="82" t="b">
        <f>IF(OR(BL_Scorecard!C40="",BL_Scorecard!F40=""),FALSE,IF(OR(BL_Scorecard!F40="No",BL_Scorecard!C40="None"),TRUE,FALSE))</f>
        <v>0</v>
      </c>
      <c r="N8" s="81" t="s">
        <v>103</v>
      </c>
    </row>
    <row r="9">
      <c r="A9" s="85" t="s">
        <v>138</v>
      </c>
      <c r="B9" s="87">
        <v>6.0</v>
      </c>
      <c r="C9" s="86" t="s">
        <v>139</v>
      </c>
      <c r="L9" s="81" t="s">
        <v>140</v>
      </c>
      <c r="M9" s="82" t="b">
        <f>IF(OR(BL_Scorecard!C11=""),FALSE,IF(BL_Scorecard!C11&gt;BRANCH_APPROVAL_LIMIT_ETB,TRUE,FALSE))</f>
        <v>0</v>
      </c>
      <c r="N9" s="81" t="s">
        <v>125</v>
      </c>
    </row>
    <row r="10">
      <c r="A10" s="88" t="s">
        <v>141</v>
      </c>
      <c r="B10" s="89">
        <v>99.0</v>
      </c>
      <c r="C10" s="90" t="s">
        <v>142</v>
      </c>
      <c r="L10" s="81" t="s">
        <v>143</v>
      </c>
      <c r="M10" s="82" t="b">
        <f>IF(OR(BL_Scorecard!C11=""),FALSE,IF(BL_Scorecard!C11&gt;BUSINESS_LOAN_HARD_MAX_ETB,TRUE,FALSE))</f>
        <v>0</v>
      </c>
      <c r="N10" s="81" t="s">
        <v>103</v>
      </c>
    </row>
    <row r="11">
      <c r="A11" s="76" t="s">
        <v>144</v>
      </c>
      <c r="B11" s="87">
        <v>50000.0</v>
      </c>
      <c r="C11" s="86" t="s">
        <v>145</v>
      </c>
      <c r="L11" s="81" t="s">
        <v>146</v>
      </c>
      <c r="M11" s="82" t="b">
        <f>IF(BL_Scorecard!H9="",FALSE,IF(BL_Scorecard!H9="Yes",TRUE,FALSE))</f>
        <v>0</v>
      </c>
      <c r="N11" s="81" t="s">
        <v>103</v>
      </c>
    </row>
    <row r="12">
      <c r="A12" s="85" t="s">
        <v>147</v>
      </c>
      <c r="B12" s="87">
        <v>3000000.0</v>
      </c>
      <c r="C12" s="86" t="s">
        <v>148</v>
      </c>
    </row>
    <row r="13">
      <c r="A13" s="85" t="s">
        <v>149</v>
      </c>
      <c r="B13" s="87">
        <v>30.0</v>
      </c>
      <c r="C13" s="86" t="s">
        <v>150</v>
      </c>
    </row>
    <row r="14">
      <c r="A14" s="85" t="s">
        <v>151</v>
      </c>
      <c r="B14" s="87">
        <v>39.0</v>
      </c>
      <c r="C14" s="78" t="s">
        <v>152</v>
      </c>
    </row>
    <row r="15">
      <c r="A15" s="85" t="s">
        <v>153</v>
      </c>
      <c r="B15" s="87">
        <v>10.0</v>
      </c>
      <c r="C15" s="78" t="s">
        <v>152</v>
      </c>
    </row>
    <row r="16">
      <c r="A16" s="85" t="s">
        <v>154</v>
      </c>
      <c r="B16" s="83">
        <v>10.0</v>
      </c>
      <c r="C16" s="78" t="s">
        <v>152</v>
      </c>
    </row>
    <row r="17">
      <c r="A17" s="85" t="s">
        <v>155</v>
      </c>
      <c r="B17" s="87">
        <v>10.0</v>
      </c>
      <c r="C17" s="78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